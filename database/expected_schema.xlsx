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91" documentId="11_31ABE09D99E2F2CC5D09F38B7CBC4026C245E7EE" xr6:coauthVersionLast="47" xr6:coauthVersionMax="47" xr10:uidLastSave="{70921183-94FE-42B1-A364-D9BAE4C4A3E4}"/>
  <bookViews>
    <workbookView xWindow="240" yWindow="105" windowWidth="14805" windowHeight="8010" xr2:uid="{00000000-000D-0000-FFFF-FFFF00000000}"/>
  </bookViews>
  <sheets>
    <sheet name="1 - Records" sheetId="2" r:id="rId1"/>
    <sheet name="2 - Record-Locus" sheetId="3" r:id="rId2"/>
    <sheet name="3 - Taxid-Locu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K2" i="1"/>
  <c r="L2" i="1"/>
  <c r="M2" i="1"/>
  <c r="N2" i="1"/>
  <c r="O2" i="1"/>
  <c r="P2" i="1"/>
  <c r="Q2" i="1"/>
  <c r="R2" i="1"/>
  <c r="S2" i="1"/>
  <c r="T2" i="1"/>
  <c r="U2" i="1"/>
  <c r="V2" i="1"/>
  <c r="W2" i="1"/>
  <c r="AK2" i="1"/>
  <c r="AL2" i="1"/>
  <c r="AM2" i="1"/>
  <c r="I2" i="1"/>
</calcChain>
</file>

<file path=xl/sharedStrings.xml><?xml version="1.0" encoding="utf-8"?>
<sst xmlns="http://schemas.openxmlformats.org/spreadsheetml/2006/main" count="63" uniqueCount="60">
  <si>
    <t>accession</t>
  </si>
  <si>
    <t>taxid</t>
  </si>
  <si>
    <t>length</t>
  </si>
  <si>
    <t>title</t>
  </si>
  <si>
    <t>MT012345.1</t>
  </si>
  <si>
    <t>Drosophila melanogaster isolate DM-14 cytochrome c oxidase subunit I (COI) gene, partial cds; mitochondrial</t>
  </si>
  <si>
    <t>One row per sequence in core_nt. Source of truth; rebuilt only when core_nt is refreshed. Nothing here is derived.</t>
  </si>
  <si>
    <t>In phase 2, we will enrich this data with more source columns (in addition to title) parsed from Genbank metadata.</t>
  </si>
  <si>
    <t>locus_id</t>
  </si>
  <si>
    <t>status</t>
  </si>
  <si>
    <t>evidence_source</t>
  </si>
  <si>
    <t>present</t>
  </si>
  <si>
    <t>One row per record-locus assessment. Derived and revisable: rebuilt from 'records' whenever synonym lists or matching rules change.</t>
  </si>
  <si>
    <t>Taxid (PK)</t>
  </si>
  <si>
    <t>rank_domain</t>
  </si>
  <si>
    <t>rank_kingdom</t>
  </si>
  <si>
    <t>rank_phylum</t>
  </si>
  <si>
    <t>rank_class</t>
  </si>
  <si>
    <t>rank_order</t>
  </si>
  <si>
    <t>rank_family</t>
  </si>
  <si>
    <t>rank_genus</t>
  </si>
  <si>
    <t>locus_1</t>
  </si>
  <si>
    <t>locus_2</t>
  </si>
  <si>
    <t>locus_3</t>
  </si>
  <si>
    <t>locus_4</t>
  </si>
  <si>
    <t>locus_5</t>
  </si>
  <si>
    <t>locus_6</t>
  </si>
  <si>
    <t>locus_7</t>
  </si>
  <si>
    <t>locus_8</t>
  </si>
  <si>
    <t>locus_9</t>
  </si>
  <si>
    <t>locus_10</t>
  </si>
  <si>
    <t>locus_11</t>
  </si>
  <si>
    <t>locus_12</t>
  </si>
  <si>
    <t>locus_13</t>
  </si>
  <si>
    <t>locus_14</t>
  </si>
  <si>
    <t>locus_15</t>
  </si>
  <si>
    <t>locus_16</t>
  </si>
  <si>
    <t>locus_17</t>
  </si>
  <si>
    <t>locus_18</t>
  </si>
  <si>
    <t>locus_19</t>
  </si>
  <si>
    <t>locus_20</t>
  </si>
  <si>
    <t>locus_21</t>
  </si>
  <si>
    <t>locus_22</t>
  </si>
  <si>
    <t>locus_23</t>
  </si>
  <si>
    <t>locus_24</t>
  </si>
  <si>
    <t>locus_25</t>
  </si>
  <si>
    <t>locus_26</t>
  </si>
  <si>
    <t>locus_27</t>
  </si>
  <si>
    <t>locus_28</t>
  </si>
  <si>
    <t>locus_29</t>
  </si>
  <si>
    <t>locus_30</t>
  </si>
  <si>
    <t>locus_31</t>
  </si>
  <si>
    <t> Eukaryota</t>
  </si>
  <si>
    <t> Metazoa</t>
  </si>
  <si>
    <t> Arthropoda</t>
  </si>
  <si>
    <t> Hexapoda</t>
  </si>
  <si>
    <t> Diptera</t>
  </si>
  <si>
    <t> Drosophilidae</t>
  </si>
  <si>
    <t> Drosophila</t>
  </si>
  <si>
    <t>One row per taxid in core_nt. Ranks are retrieved from taxonkit. Counts are derived from table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</si>
</sst>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theme="1"/>
      <name val="Calibri"/>
      <charset val="1"/>
    </font>
    <font>
      <i/>
      <sz val="10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89BF-04C2-4E7C-A060-CA58FAC65136}">
  <dimension ref="A1:D5"/>
  <sheetViews>
    <sheetView tabSelected="1" workbookViewId="0">
      <selection activeCell="A6" sqref="A6"/>
    </sheetView>
  </sheetViews>
  <sheetFormatPr defaultRowHeight="15"/>
  <cols>
    <col min="1" max="1" width="14.28515625" customWidth="1"/>
    <col min="3" max="3" width="10" customWidth="1"/>
    <col min="4" max="4" width="114.570312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5">
        <v>7227</v>
      </c>
      <c r="C2" s="5">
        <v>658</v>
      </c>
      <c r="D2" s="5" t="s">
        <v>5</v>
      </c>
    </row>
    <row r="3" spans="1:4">
      <c r="A3" s="6"/>
      <c r="B3" s="6"/>
      <c r="C3" s="6"/>
      <c r="D3" s="6"/>
    </row>
    <row r="4" spans="1:4">
      <c r="A4" s="7" t="s">
        <v>6</v>
      </c>
      <c r="B4" s="6"/>
      <c r="C4" s="6"/>
      <c r="D4" s="6"/>
    </row>
    <row r="5" spans="1:4">
      <c r="A5" s="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C55E-7028-43E8-941C-49084FE6C261}">
  <dimension ref="A1:D4"/>
  <sheetViews>
    <sheetView workbookViewId="0">
      <selection activeCell="A5" sqref="A5"/>
    </sheetView>
  </sheetViews>
  <sheetFormatPr defaultRowHeight="15"/>
  <cols>
    <col min="1" max="1" width="13" customWidth="1"/>
    <col min="3" max="3" width="9.42578125" customWidth="1"/>
    <col min="4" max="4" width="83.42578125" customWidth="1"/>
  </cols>
  <sheetData>
    <row r="1" spans="1:4">
      <c r="A1" s="4" t="s">
        <v>0</v>
      </c>
      <c r="B1" s="4" t="s">
        <v>8</v>
      </c>
      <c r="C1" s="4" t="s">
        <v>9</v>
      </c>
      <c r="D1" s="4" t="s">
        <v>10</v>
      </c>
    </row>
    <row r="2" spans="1:4">
      <c r="A2" s="5" t="s">
        <v>4</v>
      </c>
      <c r="B2" s="5">
        <v>1</v>
      </c>
      <c r="C2" s="5" t="s">
        <v>11</v>
      </c>
      <c r="D2" s="5" t="s">
        <v>3</v>
      </c>
    </row>
    <row r="3" spans="1:4">
      <c r="A3" s="6"/>
      <c r="B3" s="6"/>
      <c r="C3" s="6"/>
      <c r="D3" s="6"/>
    </row>
    <row r="4" spans="1:4">
      <c r="A4" s="7" t="s">
        <v>12</v>
      </c>
      <c r="B4" s="6"/>
      <c r="C4" s="6"/>
      <c r="D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"/>
  <sheetViews>
    <sheetView workbookViewId="0">
      <selection activeCell="A5" sqref="A5"/>
    </sheetView>
  </sheetViews>
  <sheetFormatPr defaultRowHeight="15"/>
  <cols>
    <col min="1" max="1" width="16.140625" customWidth="1"/>
    <col min="2" max="8" width="20.7109375" customWidth="1"/>
    <col min="9" max="39" width="15.7109375" customWidth="1"/>
  </cols>
  <sheetData>
    <row r="1" spans="1:39" s="3" customFormat="1" ht="21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</row>
    <row r="2" spans="1:39">
      <c r="A2">
        <v>7227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>
        <f ca="1">RANDBETWEEN(15,8945)</f>
        <v>5992</v>
      </c>
      <c r="J2">
        <f t="shared" ref="J2:AM2" ca="1" si="0">RANDBETWEEN(15,8945)</f>
        <v>7277</v>
      </c>
      <c r="K2">
        <f t="shared" ca="1" si="0"/>
        <v>8815</v>
      </c>
      <c r="L2">
        <f t="shared" ca="1" si="0"/>
        <v>2330</v>
      </c>
      <c r="M2">
        <f t="shared" ca="1" si="0"/>
        <v>6575</v>
      </c>
      <c r="N2">
        <f t="shared" ca="1" si="0"/>
        <v>5589</v>
      </c>
      <c r="O2">
        <f t="shared" ca="1" si="0"/>
        <v>34</v>
      </c>
      <c r="P2">
        <f t="shared" ca="1" si="0"/>
        <v>4486</v>
      </c>
      <c r="Q2">
        <f t="shared" ca="1" si="0"/>
        <v>3064</v>
      </c>
      <c r="R2">
        <f t="shared" ca="1" si="0"/>
        <v>7018</v>
      </c>
      <c r="S2">
        <f t="shared" ca="1" si="0"/>
        <v>4588</v>
      </c>
      <c r="T2">
        <f t="shared" ca="1" si="0"/>
        <v>725</v>
      </c>
      <c r="U2">
        <f t="shared" ca="1" si="0"/>
        <v>3571</v>
      </c>
      <c r="V2">
        <f t="shared" ca="1" si="0"/>
        <v>5422</v>
      </c>
      <c r="W2">
        <f t="shared" ca="1" si="0"/>
        <v>1882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 t="shared" ca="1" si="0"/>
        <v>816</v>
      </c>
      <c r="AL2">
        <f t="shared" ca="1" si="0"/>
        <v>2491</v>
      </c>
      <c r="AM2">
        <f t="shared" ca="1" si="0"/>
        <v>7749</v>
      </c>
    </row>
    <row r="4" spans="1:39">
      <c r="A4" s="7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7DABBD87548468DDC369430334D94" ma:contentTypeVersion="19" ma:contentTypeDescription="Create a new document." ma:contentTypeScope="" ma:versionID="f6f49279de1bac18f88fdb42f93cf38c">
  <xsd:schema xmlns:xsd="http://www.w3.org/2001/XMLSchema" xmlns:xs="http://www.w3.org/2001/XMLSchema" xmlns:p="http://schemas.microsoft.com/office/2006/metadata/properties" xmlns:ns2="ef88f76c-dac5-4408-bf80-412a6cbae175" xmlns:ns3="f27b0d59-da48-4bac-a477-6b481aa50174" targetNamespace="http://schemas.microsoft.com/office/2006/metadata/properties" ma:root="true" ma:fieldsID="f174258b44d4ad0d5c00ab264e0edd35" ns2:_="" ns3:_="">
    <xsd:import namespace="ef88f76c-dac5-4408-bf80-412a6cbae175"/>
    <xsd:import namespace="f27b0d59-da48-4bac-a477-6b481aa5017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8f76c-dac5-4408-bf80-412a6cbae1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91a8926-75ed-4e91-bf18-abdbac8ca11b}" ma:internalName="TaxCatchAll" ma:showField="CatchAllData" ma:web="ef88f76c-dac5-4408-bf80-412a6cbae1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b0d59-da48-4bac-a477-6b481aa50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b59e1a7-5cd9-4422-a65d-f99c40acf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7b0d59-da48-4bac-a477-6b481aa50174">
      <Terms xmlns="http://schemas.microsoft.com/office/infopath/2007/PartnerControls"/>
    </lcf76f155ced4ddcb4097134ff3c332f>
    <TaxCatchAll xmlns="ef88f76c-dac5-4408-bf80-412a6cbae1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7D8CA0-1AB1-47B3-A608-618CF034BC5F}"/>
</file>

<file path=customXml/itemProps2.xml><?xml version="1.0" encoding="utf-8"?>
<ds:datastoreItem xmlns:ds="http://schemas.openxmlformats.org/officeDocument/2006/customXml" ds:itemID="{845ED201-FC08-4B21-9169-DA013807D02A}"/>
</file>

<file path=customXml/itemProps3.xml><?xml version="1.0" encoding="utf-8"?>
<ds:datastoreItem xmlns:ds="http://schemas.openxmlformats.org/officeDocument/2006/customXml" ds:itemID="{AA2B38F4-3CEE-4855-B0E2-B489D0B01E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Magdalena Antczak</cp:lastModifiedBy>
  <cp:revision/>
  <dcterms:created xsi:type="dcterms:W3CDTF">2026-09-10T21:24:14Z</dcterms:created>
  <dcterms:modified xsi:type="dcterms:W3CDTF">2026-09-14T21:23:33Z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0x010100B347DABBD87548468DDC369430334D94</vt:lpwstr>
  </property>
  <property fmtid="{D5CDD505-2E9C-101B-9397-08002B2CF9AE}" pid="3" name="MediaServiceImageTags">
    <vt:lpwstr/>
  </property>
</Properties>
</file>